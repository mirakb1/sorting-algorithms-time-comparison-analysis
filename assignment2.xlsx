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1320eef2b3507bb/Desktop/Algorithms/"/>
    </mc:Choice>
  </mc:AlternateContent>
  <xr:revisionPtr revIDLastSave="3" documentId="8_{7D890234-AD64-4F84-8B9C-19C0AFCDFE80}" xr6:coauthVersionLast="47" xr6:coauthVersionMax="47" xr10:uidLastSave="{4E232BB5-D8B4-45EB-B996-6609E56199D5}"/>
  <bookViews>
    <workbookView xWindow="-110" yWindow="-110" windowWidth="19420" windowHeight="10300" xr2:uid="{330D485E-ADFA-46E7-AD9B-B1BD277DD845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5" i="1" l="1"/>
  <c r="E5" i="1"/>
  <c r="D5" i="1"/>
  <c r="C5" i="1"/>
  <c r="F11" i="1"/>
  <c r="E11" i="1"/>
  <c r="D11" i="1"/>
  <c r="C11" i="1"/>
  <c r="F2" i="1"/>
  <c r="E2" i="1"/>
  <c r="D2" i="1"/>
  <c r="C2" i="1"/>
  <c r="D14" i="1"/>
  <c r="E14" i="1"/>
  <c r="F14" i="1"/>
  <c r="C14" i="1"/>
  <c r="D8" i="1"/>
  <c r="E8" i="1"/>
  <c r="F8" i="1"/>
  <c r="C8" i="1"/>
</calcChain>
</file>

<file path=xl/sharedStrings.xml><?xml version="1.0" encoding="utf-8"?>
<sst xmlns="http://schemas.openxmlformats.org/spreadsheetml/2006/main" count="27" uniqueCount="14">
  <si>
    <t>Algorithm/size</t>
  </si>
  <si>
    <t>experiment</t>
  </si>
  <si>
    <t>Notes</t>
  </si>
  <si>
    <t>Selection sort</t>
  </si>
  <si>
    <t>Insertion sort</t>
  </si>
  <si>
    <t>merge sort</t>
  </si>
  <si>
    <t>quick sort</t>
  </si>
  <si>
    <t>heap sort</t>
  </si>
  <si>
    <t>counting sort</t>
  </si>
  <si>
    <t>#1</t>
  </si>
  <si>
    <t>#2</t>
  </si>
  <si>
    <t xml:space="preserve">F(n)=O(n^2) </t>
  </si>
  <si>
    <t>F(n)=O(n logn)</t>
  </si>
  <si>
    <t>F(n)=O(n+m)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</si>
</sst>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EBED9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FFFEFDCE"/>
        <bgColor indexed="64"/>
      </patternFill>
    </fill>
    <fill>
      <patternFill patternType="solid">
        <fgColor rgb="FFE4AEC9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 textRotation="45"/>
    </xf>
    <xf numFmtId="0" fontId="0" fillId="2" borderId="0" xfId="0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3" fontId="0" fillId="2" borderId="2" xfId="0" applyNumberForma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3" fontId="0" fillId="3" borderId="1" xfId="0" applyNumberForma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EBED9"/>
      <color rgb="FFE4AEC9"/>
      <color rgb="FFC95B92"/>
      <color rgb="FFCCECFF"/>
      <color rgb="FFFEFDCE"/>
      <color rgb="FFF0C8F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selection sort theoretical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trendline>
            <c:spPr>
              <a:ln w="9525" cap="rnd">
                <a:solidFill>
                  <a:schemeClr val="accent1"/>
                </a:solidFill>
              </a:ln>
              <a:effectLst/>
            </c:spPr>
            <c:trendlineType val="poly"/>
            <c:order val="2"/>
            <c:dispRSqr val="0"/>
            <c:dispEq val="0"/>
          </c:trendline>
          <c:xVal>
            <c:numRef>
              <c:f>Sheet1!$C$1:$F$1</c:f>
              <c:numCache>
                <c:formatCode>#,##0</c:formatCode>
                <c:ptCount val="4"/>
                <c:pt idx="0">
                  <c:v>10000</c:v>
                </c:pt>
                <c:pt idx="1">
                  <c:v>20000</c:v>
                </c:pt>
                <c:pt idx="2">
                  <c:v>30000</c:v>
                </c:pt>
                <c:pt idx="3">
                  <c:v>50000</c:v>
                </c:pt>
              </c:numCache>
            </c:numRef>
          </c:xVal>
          <c:yVal>
            <c:numRef>
              <c:f>Sheet1!$C$2:$F$2</c:f>
              <c:numCache>
                <c:formatCode>#,##0</c:formatCode>
                <c:ptCount val="4"/>
                <c:pt idx="0">
                  <c:v>100000000</c:v>
                </c:pt>
                <c:pt idx="1">
                  <c:v>400000000</c:v>
                </c:pt>
                <c:pt idx="2">
                  <c:v>900000000</c:v>
                </c:pt>
                <c:pt idx="3">
                  <c:v>2500000000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920-4365-AE7D-9961599E76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2466928"/>
        <c:axId val="402465488"/>
      </c:scatterChart>
      <c:valAx>
        <c:axId val="4024669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2465488"/>
        <c:crosses val="autoZero"/>
        <c:crossBetween val="midCat"/>
      </c:valAx>
      <c:valAx>
        <c:axId val="402465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24669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selection</a:t>
            </a:r>
            <a:r>
              <a:rPr lang="en-US" baseline="0"/>
              <a:t> sort experimental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trendline>
            <c:spPr>
              <a:ln w="9525" cap="rnd">
                <a:solidFill>
                  <a:schemeClr val="accent1"/>
                </a:solidFill>
              </a:ln>
              <a:effectLst/>
            </c:spPr>
            <c:trendlineType val="poly"/>
            <c:order val="2"/>
            <c:dispRSqr val="0"/>
            <c:dispEq val="0"/>
          </c:trendline>
          <c:xVal>
            <c:numRef>
              <c:f>Sheet1!$C$1:$F$1</c:f>
              <c:numCache>
                <c:formatCode>#,##0</c:formatCode>
                <c:ptCount val="4"/>
                <c:pt idx="0">
                  <c:v>10000</c:v>
                </c:pt>
                <c:pt idx="1">
                  <c:v>20000</c:v>
                </c:pt>
                <c:pt idx="2">
                  <c:v>30000</c:v>
                </c:pt>
                <c:pt idx="3">
                  <c:v>50000</c:v>
                </c:pt>
              </c:numCache>
            </c:numRef>
          </c:xVal>
          <c:yVal>
            <c:numRef>
              <c:f>Sheet1!$C$3:$F$3</c:f>
              <c:numCache>
                <c:formatCode>General</c:formatCode>
                <c:ptCount val="4"/>
                <c:pt idx="0">
                  <c:v>0.10100000000000001</c:v>
                </c:pt>
                <c:pt idx="1">
                  <c:v>0.41799999999999998</c:v>
                </c:pt>
                <c:pt idx="2">
                  <c:v>1.075</c:v>
                </c:pt>
                <c:pt idx="3">
                  <c:v>3.0270000000000001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63B-460E-BDD8-C4EDF7CA48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7497728"/>
        <c:axId val="397498088"/>
      </c:scatterChart>
      <c:valAx>
        <c:axId val="3974977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7498088"/>
        <c:crosses val="autoZero"/>
        <c:crossBetween val="midCat"/>
      </c:valAx>
      <c:valAx>
        <c:axId val="397498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74977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insertion</a:t>
            </a:r>
            <a:r>
              <a:rPr lang="en-US" baseline="0"/>
              <a:t> sort theoretical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trendline>
            <c:spPr>
              <a:ln w="9525" cap="rnd">
                <a:solidFill>
                  <a:schemeClr val="accent1"/>
                </a:solidFill>
              </a:ln>
              <a:effectLst/>
            </c:spPr>
            <c:trendlineType val="poly"/>
            <c:order val="2"/>
            <c:dispRSqr val="0"/>
            <c:dispEq val="0"/>
          </c:trendline>
          <c:xVal>
            <c:numRef>
              <c:f>Sheet1!$C$1:$F$1</c:f>
              <c:numCache>
                <c:formatCode>#,##0</c:formatCode>
                <c:ptCount val="4"/>
                <c:pt idx="0">
                  <c:v>10000</c:v>
                </c:pt>
                <c:pt idx="1">
                  <c:v>20000</c:v>
                </c:pt>
                <c:pt idx="2">
                  <c:v>30000</c:v>
                </c:pt>
                <c:pt idx="3">
                  <c:v>50000</c:v>
                </c:pt>
              </c:numCache>
            </c:numRef>
          </c:xVal>
          <c:yVal>
            <c:numRef>
              <c:f>Sheet1!$C$5:$F$5</c:f>
              <c:numCache>
                <c:formatCode>#,##0</c:formatCode>
                <c:ptCount val="4"/>
                <c:pt idx="0">
                  <c:v>100000000</c:v>
                </c:pt>
                <c:pt idx="1">
                  <c:v>400000000</c:v>
                </c:pt>
                <c:pt idx="2">
                  <c:v>900000000</c:v>
                </c:pt>
                <c:pt idx="3">
                  <c:v>2500000000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B0B-43AB-9961-229E60DC08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0505848"/>
        <c:axId val="530503328"/>
      </c:scatterChart>
      <c:valAx>
        <c:axId val="530505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0503328"/>
        <c:crosses val="autoZero"/>
        <c:crossBetween val="midCat"/>
      </c:valAx>
      <c:valAx>
        <c:axId val="530503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05058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insertion</a:t>
            </a:r>
            <a:r>
              <a:rPr lang="en-US" baseline="0"/>
              <a:t> sort experimental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trendline>
            <c:spPr>
              <a:ln w="9525" cap="rnd">
                <a:solidFill>
                  <a:schemeClr val="accent1"/>
                </a:solidFill>
              </a:ln>
              <a:effectLst/>
            </c:spPr>
            <c:trendlineType val="poly"/>
            <c:order val="2"/>
            <c:dispRSqr val="0"/>
            <c:dispEq val="0"/>
          </c:trendline>
          <c:xVal>
            <c:numRef>
              <c:f>Sheet1!$C$1:$F$1</c:f>
              <c:numCache>
                <c:formatCode>#,##0</c:formatCode>
                <c:ptCount val="4"/>
                <c:pt idx="0">
                  <c:v>10000</c:v>
                </c:pt>
                <c:pt idx="1">
                  <c:v>20000</c:v>
                </c:pt>
                <c:pt idx="2">
                  <c:v>30000</c:v>
                </c:pt>
                <c:pt idx="3">
                  <c:v>50000</c:v>
                </c:pt>
              </c:numCache>
            </c:numRef>
          </c:xVal>
          <c:yVal>
            <c:numRef>
              <c:f>Sheet1!$C$6:$F$6</c:f>
              <c:numCache>
                <c:formatCode>General</c:formatCode>
                <c:ptCount val="4"/>
                <c:pt idx="0">
                  <c:v>5.1999999999999998E-2</c:v>
                </c:pt>
                <c:pt idx="1">
                  <c:v>0.224</c:v>
                </c:pt>
                <c:pt idx="2">
                  <c:v>0.50800000000000001</c:v>
                </c:pt>
                <c:pt idx="3">
                  <c:v>1.419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813-431D-85F6-3C91734319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7218488"/>
        <c:axId val="597209128"/>
      </c:scatterChart>
      <c:valAx>
        <c:axId val="5972184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7209128"/>
        <c:crosses val="autoZero"/>
        <c:crossBetween val="midCat"/>
      </c:valAx>
      <c:valAx>
        <c:axId val="597209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72184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merge</a:t>
            </a:r>
            <a:r>
              <a:rPr lang="en-US" baseline="0"/>
              <a:t> sort theoretical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trendline>
            <c:spPr>
              <a:ln w="9525" cap="rnd">
                <a:solidFill>
                  <a:schemeClr val="accent1"/>
                </a:solidFill>
              </a:ln>
              <a:effectLst/>
            </c:spPr>
            <c:trendlineType val="log"/>
            <c:dispRSqr val="0"/>
            <c:dispEq val="0"/>
          </c:trendline>
          <c:xVal>
            <c:numRef>
              <c:f>Sheet1!$C$1:$F$1</c:f>
              <c:numCache>
                <c:formatCode>#,##0</c:formatCode>
                <c:ptCount val="4"/>
                <c:pt idx="0">
                  <c:v>10000</c:v>
                </c:pt>
                <c:pt idx="1">
                  <c:v>20000</c:v>
                </c:pt>
                <c:pt idx="2">
                  <c:v>30000</c:v>
                </c:pt>
                <c:pt idx="3">
                  <c:v>50000</c:v>
                </c:pt>
              </c:numCache>
            </c:numRef>
          </c:xVal>
          <c:yVal>
            <c:numRef>
              <c:f>Sheet1!$C$8:$F$8</c:f>
              <c:numCache>
                <c:formatCode>General</c:formatCode>
                <c:ptCount val="4"/>
                <c:pt idx="0">
                  <c:v>132877.1237954945</c:v>
                </c:pt>
                <c:pt idx="1">
                  <c:v>285754.24759098899</c:v>
                </c:pt>
                <c:pt idx="2">
                  <c:v>446180.24640811823</c:v>
                </c:pt>
                <c:pt idx="3">
                  <c:v>780482.02372184058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7A9-4944-A661-2EBE6124E8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7222088"/>
        <c:axId val="597221008"/>
      </c:scatterChart>
      <c:valAx>
        <c:axId val="5972220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7221008"/>
        <c:crosses val="autoZero"/>
        <c:crossBetween val="midCat"/>
      </c:valAx>
      <c:valAx>
        <c:axId val="597221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72220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merge</a:t>
            </a:r>
            <a:r>
              <a:rPr lang="en-US" baseline="0"/>
              <a:t> sort experimental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trendline>
            <c:spPr>
              <a:ln w="9525" cap="rnd">
                <a:solidFill>
                  <a:schemeClr val="accent1"/>
                </a:solidFill>
              </a:ln>
              <a:effectLst/>
            </c:spPr>
            <c:trendlineType val="log"/>
            <c:dispRSqr val="0"/>
            <c:dispEq val="0"/>
          </c:trendline>
          <c:xVal>
            <c:numRef>
              <c:f>Sheet1!$C$1:$F$1</c:f>
              <c:numCache>
                <c:formatCode>#,##0</c:formatCode>
                <c:ptCount val="4"/>
                <c:pt idx="0">
                  <c:v>10000</c:v>
                </c:pt>
                <c:pt idx="1">
                  <c:v>20000</c:v>
                </c:pt>
                <c:pt idx="2">
                  <c:v>30000</c:v>
                </c:pt>
                <c:pt idx="3">
                  <c:v>50000</c:v>
                </c:pt>
              </c:numCache>
            </c:numRef>
          </c:xVal>
          <c:yVal>
            <c:numRef>
              <c:f>Sheet1!$C$9:$F$9</c:f>
              <c:numCache>
                <c:formatCode>General</c:formatCode>
                <c:ptCount val="4"/>
                <c:pt idx="0">
                  <c:v>0.01</c:v>
                </c:pt>
                <c:pt idx="1">
                  <c:v>3.5000000000000003E-2</c:v>
                </c:pt>
                <c:pt idx="2">
                  <c:v>7.5999999999999998E-2</c:v>
                </c:pt>
                <c:pt idx="3">
                  <c:v>0.33900000000000002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18F-4EEA-B545-8A7B58919C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7222088"/>
        <c:axId val="597221008"/>
      </c:scatterChart>
      <c:valAx>
        <c:axId val="5972220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7221008"/>
        <c:crosses val="autoZero"/>
        <c:crossBetween val="midCat"/>
      </c:valAx>
      <c:valAx>
        <c:axId val="59722100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72220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quick</a:t>
            </a:r>
            <a:r>
              <a:rPr lang="en-US" baseline="0"/>
              <a:t> sort theoretical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trendline>
            <c:spPr>
              <a:ln w="9525" cap="rnd">
                <a:solidFill>
                  <a:schemeClr val="accent1"/>
                </a:solidFill>
              </a:ln>
              <a:effectLst/>
            </c:spPr>
            <c:trendlineType val="poly"/>
            <c:order val="2"/>
            <c:dispRSqr val="0"/>
            <c:dispEq val="0"/>
          </c:trendline>
          <c:xVal>
            <c:numRef>
              <c:f>Sheet1!$C$1:$F$1</c:f>
              <c:numCache>
                <c:formatCode>#,##0</c:formatCode>
                <c:ptCount val="4"/>
                <c:pt idx="0">
                  <c:v>10000</c:v>
                </c:pt>
                <c:pt idx="1">
                  <c:v>20000</c:v>
                </c:pt>
                <c:pt idx="2">
                  <c:v>30000</c:v>
                </c:pt>
                <c:pt idx="3">
                  <c:v>50000</c:v>
                </c:pt>
              </c:numCache>
            </c:numRef>
          </c:xVal>
          <c:yVal>
            <c:numRef>
              <c:f>Sheet1!$C$11:$F$11</c:f>
              <c:numCache>
                <c:formatCode>#,##0</c:formatCode>
                <c:ptCount val="4"/>
                <c:pt idx="0">
                  <c:v>100000000</c:v>
                </c:pt>
                <c:pt idx="1">
                  <c:v>400000000</c:v>
                </c:pt>
                <c:pt idx="2">
                  <c:v>900000000</c:v>
                </c:pt>
                <c:pt idx="3">
                  <c:v>2500000000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81E-4390-921B-E38383E9D3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7222088"/>
        <c:axId val="597221008"/>
      </c:scatterChart>
      <c:valAx>
        <c:axId val="5972220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7221008"/>
        <c:crosses val="autoZero"/>
        <c:crossBetween val="midCat"/>
      </c:valAx>
      <c:valAx>
        <c:axId val="597221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72220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quick</a:t>
            </a:r>
            <a:r>
              <a:rPr lang="en-US" baseline="0"/>
              <a:t> sort experimental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trendline>
            <c:spPr>
              <a:ln w="9525" cap="rnd">
                <a:solidFill>
                  <a:schemeClr val="accent1"/>
                </a:solidFill>
              </a:ln>
              <a:effectLst/>
            </c:spPr>
            <c:trendlineType val="poly"/>
            <c:order val="2"/>
            <c:dispRSqr val="0"/>
            <c:dispEq val="0"/>
          </c:trendline>
          <c:xVal>
            <c:numRef>
              <c:f>Sheet1!$C$1:$F$1</c:f>
              <c:numCache>
                <c:formatCode>#,##0</c:formatCode>
                <c:ptCount val="4"/>
                <c:pt idx="0">
                  <c:v>10000</c:v>
                </c:pt>
                <c:pt idx="1">
                  <c:v>20000</c:v>
                </c:pt>
                <c:pt idx="2">
                  <c:v>30000</c:v>
                </c:pt>
                <c:pt idx="3">
                  <c:v>50000</c:v>
                </c:pt>
              </c:numCache>
            </c:numRef>
          </c:xVal>
          <c:yVal>
            <c:numRef>
              <c:f>Sheet1!$C$12:$F$12</c:f>
              <c:numCache>
                <c:formatCode>General</c:formatCode>
                <c:ptCount val="4"/>
                <c:pt idx="0">
                  <c:v>2E-3</c:v>
                </c:pt>
                <c:pt idx="1">
                  <c:v>6.0000000000000001E-3</c:v>
                </c:pt>
                <c:pt idx="2">
                  <c:v>0.01</c:v>
                </c:pt>
                <c:pt idx="3">
                  <c:v>2.4E-2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C84-42B3-AAC3-EE0D217B36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7222088"/>
        <c:axId val="597221008"/>
      </c:scatterChart>
      <c:valAx>
        <c:axId val="5972220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7221008"/>
        <c:crosses val="autoZero"/>
        <c:crossBetween val="midCat"/>
      </c:valAx>
      <c:valAx>
        <c:axId val="597221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72220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heap</a:t>
            </a:r>
            <a:r>
              <a:rPr lang="en-US" baseline="0"/>
              <a:t> sort theoretical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trendline>
            <c:spPr>
              <a:ln w="9525" cap="rnd">
                <a:solidFill>
                  <a:schemeClr val="accent1"/>
                </a:solidFill>
              </a:ln>
              <a:effectLst/>
            </c:spPr>
            <c:trendlineType val="log"/>
            <c:dispRSqr val="0"/>
            <c:dispEq val="0"/>
          </c:trendline>
          <c:xVal>
            <c:numRef>
              <c:f>Sheet1!$C$1:$F$1</c:f>
              <c:numCache>
                <c:formatCode>#,##0</c:formatCode>
                <c:ptCount val="4"/>
                <c:pt idx="0">
                  <c:v>10000</c:v>
                </c:pt>
                <c:pt idx="1">
                  <c:v>20000</c:v>
                </c:pt>
                <c:pt idx="2">
                  <c:v>30000</c:v>
                </c:pt>
                <c:pt idx="3">
                  <c:v>50000</c:v>
                </c:pt>
              </c:numCache>
            </c:numRef>
          </c:xVal>
          <c:yVal>
            <c:numRef>
              <c:f>Sheet1!$C$8:$F$8</c:f>
              <c:numCache>
                <c:formatCode>General</c:formatCode>
                <c:ptCount val="4"/>
                <c:pt idx="0">
                  <c:v>132877.1237954945</c:v>
                </c:pt>
                <c:pt idx="1">
                  <c:v>285754.24759098899</c:v>
                </c:pt>
                <c:pt idx="2">
                  <c:v>446180.24640811823</c:v>
                </c:pt>
                <c:pt idx="3">
                  <c:v>780482.02372184058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C40-40A9-8A1B-951557676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7222088"/>
        <c:axId val="597221008"/>
      </c:scatterChart>
      <c:valAx>
        <c:axId val="5972220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7221008"/>
        <c:crosses val="autoZero"/>
        <c:crossBetween val="midCat"/>
      </c:valAx>
      <c:valAx>
        <c:axId val="597221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72220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heap</a:t>
            </a:r>
            <a:r>
              <a:rPr lang="en-US" baseline="0"/>
              <a:t> sort experimental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trendline>
            <c:spPr>
              <a:ln w="9525" cap="rnd">
                <a:solidFill>
                  <a:schemeClr val="accent1"/>
                </a:solidFill>
              </a:ln>
              <a:effectLst/>
            </c:spPr>
            <c:trendlineType val="log"/>
            <c:dispRSqr val="0"/>
            <c:dispEq val="0"/>
          </c:trendline>
          <c:xVal>
            <c:numRef>
              <c:f>Sheet1!$C$1:$F$1</c:f>
              <c:numCache>
                <c:formatCode>#,##0</c:formatCode>
                <c:ptCount val="4"/>
                <c:pt idx="0">
                  <c:v>10000</c:v>
                </c:pt>
                <c:pt idx="1">
                  <c:v>20000</c:v>
                </c:pt>
                <c:pt idx="2">
                  <c:v>30000</c:v>
                </c:pt>
                <c:pt idx="3">
                  <c:v>50000</c:v>
                </c:pt>
              </c:numCache>
            </c:numRef>
          </c:xVal>
          <c:yVal>
            <c:numRef>
              <c:f>Sheet1!$C$15:$F$15</c:f>
              <c:numCache>
                <c:formatCode>General</c:formatCode>
                <c:ptCount val="4"/>
                <c:pt idx="0">
                  <c:v>2E-3</c:v>
                </c:pt>
                <c:pt idx="1">
                  <c:v>3.0000000000000001E-3</c:v>
                </c:pt>
                <c:pt idx="2">
                  <c:v>5.0000000000000001E-3</c:v>
                </c:pt>
                <c:pt idx="3">
                  <c:v>8.9999999999999993E-3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F1B-465D-8691-72916717BC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7222088"/>
        <c:axId val="597221008"/>
      </c:scatterChart>
      <c:valAx>
        <c:axId val="5972220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7221008"/>
        <c:crosses val="autoZero"/>
        <c:crossBetween val="midCat"/>
      </c:valAx>
      <c:valAx>
        <c:axId val="597221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72220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counting</a:t>
            </a:r>
            <a:r>
              <a:rPr lang="en-US" baseline="0"/>
              <a:t> sort theoretical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trendline>
            <c:spPr>
              <a:ln w="9525" cap="rnd">
                <a:solidFill>
                  <a:schemeClr val="accent1"/>
                </a:solidFill>
              </a:ln>
              <a:effectLst/>
            </c:spPr>
            <c:trendlineType val="linear"/>
            <c:dispRSqr val="0"/>
            <c:dispEq val="0"/>
          </c:trendline>
          <c:xVal>
            <c:numRef>
              <c:f>Sheet1!$C$1:$F$1</c:f>
              <c:numCache>
                <c:formatCode>#,##0</c:formatCode>
                <c:ptCount val="4"/>
                <c:pt idx="0">
                  <c:v>10000</c:v>
                </c:pt>
                <c:pt idx="1">
                  <c:v>20000</c:v>
                </c:pt>
                <c:pt idx="2">
                  <c:v>30000</c:v>
                </c:pt>
                <c:pt idx="3">
                  <c:v>50000</c:v>
                </c:pt>
              </c:numCache>
            </c:numRef>
          </c:xVal>
          <c:yVal>
            <c:numRef>
              <c:f>Sheet1!$C$17:$F$17</c:f>
              <c:numCache>
                <c:formatCode>General</c:formatCode>
                <c:ptCount val="4"/>
                <c:pt idx="0">
                  <c:v>10100</c:v>
                </c:pt>
                <c:pt idx="1">
                  <c:v>20100</c:v>
                </c:pt>
                <c:pt idx="2">
                  <c:v>30100</c:v>
                </c:pt>
                <c:pt idx="3">
                  <c:v>50100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059-476D-952B-0D506498FB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5201160"/>
        <c:axId val="530511608"/>
      </c:scatterChart>
      <c:valAx>
        <c:axId val="4052011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0511608"/>
        <c:crosses val="autoZero"/>
        <c:crossBetween val="midCat"/>
      </c:valAx>
      <c:valAx>
        <c:axId val="530511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52011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counting</a:t>
            </a:r>
            <a:r>
              <a:rPr lang="en-US" baseline="0"/>
              <a:t> sort experimental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trendline>
            <c:spPr>
              <a:ln w="9525" cap="rnd">
                <a:solidFill>
                  <a:schemeClr val="accent1"/>
                </a:solidFill>
              </a:ln>
              <a:effectLst/>
            </c:spPr>
            <c:trendlineType val="linear"/>
            <c:dispRSqr val="0"/>
            <c:dispEq val="0"/>
          </c:trendline>
          <c:xVal>
            <c:numRef>
              <c:f>Sheet1!$C$1:$F$1</c:f>
              <c:numCache>
                <c:formatCode>#,##0</c:formatCode>
                <c:ptCount val="4"/>
                <c:pt idx="0">
                  <c:v>10000</c:v>
                </c:pt>
                <c:pt idx="1">
                  <c:v>20000</c:v>
                </c:pt>
                <c:pt idx="2">
                  <c:v>30000</c:v>
                </c:pt>
                <c:pt idx="3">
                  <c:v>50000</c:v>
                </c:pt>
              </c:numCache>
            </c:numRef>
          </c:xVal>
          <c:yVal>
            <c:numRef>
              <c:f>Sheet1!$C$18:$F$18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7E8-41D1-ABDB-A9AFD1B86D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5201160"/>
        <c:axId val="530511608"/>
      </c:scatterChart>
      <c:valAx>
        <c:axId val="4052011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0511608"/>
        <c:crosses val="autoZero"/>
        <c:crossBetween val="midCat"/>
      </c:valAx>
      <c:valAx>
        <c:axId val="53051160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52011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2"/>
    <cs:fontRef idx="minor">
      <a:schemeClr val="tx2"/>
    </cs:fontRef>
    <cs:spPr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spPr>
      <a:ln>
        <a:solidFill>
          <a:schemeClr val="tx2">
            <a:lumMod val="40000"/>
            <a:lumOff val="6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2"/>
    <cs:fontRef idx="minor">
      <a:schemeClr val="tx2"/>
    </cs:fontRef>
    <cs:spPr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spPr>
      <a:ln>
        <a:solidFill>
          <a:schemeClr val="tx2">
            <a:lumMod val="40000"/>
            <a:lumOff val="6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4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2"/>
    <cs:fontRef idx="minor">
      <a:schemeClr val="tx2"/>
    </cs:fontRef>
    <cs:spPr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spPr>
      <a:ln>
        <a:solidFill>
          <a:schemeClr val="tx2">
            <a:lumMod val="40000"/>
            <a:lumOff val="6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4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2"/>
    <cs:fontRef idx="minor">
      <a:schemeClr val="tx2"/>
    </cs:fontRef>
    <cs:spPr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spPr>
      <a:ln>
        <a:solidFill>
          <a:schemeClr val="tx2">
            <a:lumMod val="40000"/>
            <a:lumOff val="6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4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2"/>
    <cs:fontRef idx="minor">
      <a:schemeClr val="tx2"/>
    </cs:fontRef>
    <cs:spPr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spPr>
      <a:ln>
        <a:solidFill>
          <a:schemeClr val="tx2">
            <a:lumMod val="40000"/>
            <a:lumOff val="6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4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2"/>
    <cs:fontRef idx="minor">
      <a:schemeClr val="tx2"/>
    </cs:fontRef>
    <cs:spPr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spPr>
      <a:ln>
        <a:solidFill>
          <a:schemeClr val="tx2">
            <a:lumMod val="40000"/>
            <a:lumOff val="6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4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2"/>
    <cs:fontRef idx="minor">
      <a:schemeClr val="tx2"/>
    </cs:fontRef>
    <cs:spPr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spPr>
      <a:ln>
        <a:solidFill>
          <a:schemeClr val="tx2">
            <a:lumMod val="40000"/>
            <a:lumOff val="6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4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2"/>
    <cs:fontRef idx="minor">
      <a:schemeClr val="tx2"/>
    </cs:fontRef>
    <cs:spPr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spPr>
      <a:ln>
        <a:solidFill>
          <a:schemeClr val="tx2">
            <a:lumMod val="40000"/>
            <a:lumOff val="6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4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2"/>
    <cs:fontRef idx="minor">
      <a:schemeClr val="tx2"/>
    </cs:fontRef>
    <cs:spPr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spPr>
      <a:ln>
        <a:solidFill>
          <a:schemeClr val="tx2">
            <a:lumMod val="40000"/>
            <a:lumOff val="6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4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2"/>
    <cs:fontRef idx="minor">
      <a:schemeClr val="tx2"/>
    </cs:fontRef>
    <cs:spPr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spPr>
      <a:ln>
        <a:solidFill>
          <a:schemeClr val="tx2">
            <a:lumMod val="40000"/>
            <a:lumOff val="6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4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2"/>
    <cs:fontRef idx="minor">
      <a:schemeClr val="tx2"/>
    </cs:fontRef>
    <cs:spPr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spPr>
      <a:ln>
        <a:solidFill>
          <a:schemeClr val="tx2">
            <a:lumMod val="40000"/>
            <a:lumOff val="6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24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2"/>
    <cs:fontRef idx="minor">
      <a:schemeClr val="tx2"/>
    </cs:fontRef>
    <cs:spPr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spPr>
      <a:ln>
        <a:solidFill>
          <a:schemeClr val="tx2">
            <a:lumMod val="40000"/>
            <a:lumOff val="6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0</xdr:row>
      <xdr:rowOff>1</xdr:rowOff>
    </xdr:from>
    <xdr:to>
      <xdr:col>9</xdr:col>
      <xdr:colOff>190500</xdr:colOff>
      <xdr:row>11</xdr:row>
      <xdr:rowOff>44451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064DCAE-6DC2-46EC-87BE-385BF38A78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584200</xdr:colOff>
      <xdr:row>0</xdr:row>
      <xdr:rowOff>0</xdr:rowOff>
    </xdr:from>
    <xdr:to>
      <xdr:col>17</xdr:col>
      <xdr:colOff>12700</xdr:colOff>
      <xdr:row>11</xdr:row>
      <xdr:rowOff>25400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0265E3C-E92B-4113-8A6A-5431CA4623C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</xdr:colOff>
      <xdr:row>12</xdr:row>
      <xdr:rowOff>1</xdr:rowOff>
    </xdr:from>
    <xdr:to>
      <xdr:col>9</xdr:col>
      <xdr:colOff>196851</xdr:colOff>
      <xdr:row>26</xdr:row>
      <xdr:rowOff>82551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3FAF871-C5C8-4DB5-B500-35BD7FBD856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12</xdr:row>
      <xdr:rowOff>0</xdr:rowOff>
    </xdr:from>
    <xdr:to>
      <xdr:col>17</xdr:col>
      <xdr:colOff>76200</xdr:colOff>
      <xdr:row>26</xdr:row>
      <xdr:rowOff>50800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7BBEC15-CB34-4B14-BE17-8576446891F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277228</xdr:colOff>
      <xdr:row>30</xdr:row>
      <xdr:rowOff>110341</xdr:rowOff>
    </xdr:from>
    <xdr:to>
      <xdr:col>8</xdr:col>
      <xdr:colOff>580985</xdr:colOff>
      <xdr:row>45</xdr:row>
      <xdr:rowOff>132112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3C239859-5799-4CBE-B2F9-E19CDD1CE9C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179917</xdr:colOff>
      <xdr:row>30</xdr:row>
      <xdr:rowOff>127000</xdr:rowOff>
    </xdr:from>
    <xdr:to>
      <xdr:col>16</xdr:col>
      <xdr:colOff>483674</xdr:colOff>
      <xdr:row>45</xdr:row>
      <xdr:rowOff>148771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7E355800-D673-44D2-B719-DE3A35FBF1A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18</xdr:col>
      <xdr:colOff>115602</xdr:colOff>
      <xdr:row>34</xdr:row>
      <xdr:rowOff>24424</xdr:rowOff>
    </xdr:from>
    <xdr:to>
      <xdr:col>25</xdr:col>
      <xdr:colOff>416102</xdr:colOff>
      <xdr:row>49</xdr:row>
      <xdr:rowOff>46195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126A0CFA-B9CE-432C-A6F1-548BFFA261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26</xdr:col>
      <xdr:colOff>249929</xdr:colOff>
      <xdr:row>33</xdr:row>
      <xdr:rowOff>120486</xdr:rowOff>
    </xdr:from>
    <xdr:to>
      <xdr:col>33</xdr:col>
      <xdr:colOff>553687</xdr:colOff>
      <xdr:row>48</xdr:row>
      <xdr:rowOff>157725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1C007D5C-FECF-4275-827F-3D459548232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18</xdr:col>
      <xdr:colOff>391583</xdr:colOff>
      <xdr:row>1</xdr:row>
      <xdr:rowOff>52916</xdr:rowOff>
    </xdr:from>
    <xdr:to>
      <xdr:col>26</xdr:col>
      <xdr:colOff>81506</xdr:colOff>
      <xdr:row>16</xdr:row>
      <xdr:rowOff>74687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72A3E44E-45D7-4CB5-B169-6F73FC309B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26</xdr:col>
      <xdr:colOff>285750</xdr:colOff>
      <xdr:row>1</xdr:row>
      <xdr:rowOff>95250</xdr:rowOff>
    </xdr:from>
    <xdr:to>
      <xdr:col>33</xdr:col>
      <xdr:colOff>589507</xdr:colOff>
      <xdr:row>16</xdr:row>
      <xdr:rowOff>117021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62B3DF28-EA89-47C1-9A54-741DD153EB9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18</xdr:col>
      <xdr:colOff>375709</xdr:colOff>
      <xdr:row>17</xdr:row>
      <xdr:rowOff>4233</xdr:rowOff>
    </xdr:from>
    <xdr:to>
      <xdr:col>26</xdr:col>
      <xdr:colOff>37042</xdr:colOff>
      <xdr:row>32</xdr:row>
      <xdr:rowOff>48683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41207141-8F44-411B-925F-65D2E6AD3A7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26</xdr:col>
      <xdr:colOff>201083</xdr:colOff>
      <xdr:row>17</xdr:row>
      <xdr:rowOff>0</xdr:rowOff>
    </xdr:from>
    <xdr:to>
      <xdr:col>33</xdr:col>
      <xdr:colOff>476250</xdr:colOff>
      <xdr:row>32</xdr:row>
      <xdr:rowOff>44450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47A3DB5B-E737-457A-9F77-AFF18FB390B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21585B-18C1-40FD-A687-FAB34DCC562C}">
  <dimension ref="A1:M19"/>
  <sheetViews>
    <sheetView tabSelected="1" zoomScale="60" zoomScaleNormal="63" workbookViewId="0">
      <selection activeCell="C2" sqref="C2"/>
    </sheetView>
  </sheetViews>
  <sheetFormatPr defaultRowHeight="14.5" x14ac:dyDescent="0.35"/>
  <cols>
    <col min="1" max="1" width="14.36328125" style="1" customWidth="1"/>
    <col min="2" max="2" width="12" style="1" customWidth="1"/>
    <col min="3" max="5" width="11.54296875" style="1" bestFit="1" customWidth="1"/>
    <col min="6" max="6" width="13.08984375" style="1" bestFit="1" customWidth="1"/>
    <col min="7" max="16384" width="8.7265625" style="1"/>
  </cols>
  <sheetData>
    <row r="1" spans="1:13" ht="60" x14ac:dyDescent="0.35">
      <c r="A1" s="2" t="s">
        <v>0</v>
      </c>
      <c r="B1" s="3" t="s">
        <v>1</v>
      </c>
      <c r="C1" s="5">
        <v>10000</v>
      </c>
      <c r="D1" s="5">
        <v>20000</v>
      </c>
      <c r="E1" s="5">
        <v>30000</v>
      </c>
      <c r="F1" s="5">
        <v>50000</v>
      </c>
      <c r="G1" s="6" t="s">
        <v>2</v>
      </c>
    </row>
    <row r="2" spans="1:13" x14ac:dyDescent="0.35">
      <c r="A2" s="13" t="s">
        <v>3</v>
      </c>
      <c r="B2" s="8" t="s">
        <v>11</v>
      </c>
      <c r="C2" s="11">
        <f>C1^2</f>
        <v>100000000</v>
      </c>
      <c r="D2" s="11">
        <f>D1^2</f>
        <v>400000000</v>
      </c>
      <c r="E2" s="11">
        <f>E1^2</f>
        <v>900000000</v>
      </c>
      <c r="F2" s="11">
        <f>F1^2</f>
        <v>2500000000</v>
      </c>
      <c r="G2" s="12"/>
    </row>
    <row r="3" spans="1:13" x14ac:dyDescent="0.35">
      <c r="A3" s="13"/>
      <c r="B3" s="7" t="s">
        <v>9</v>
      </c>
      <c r="C3" s="7">
        <v>0.10100000000000001</v>
      </c>
      <c r="D3" s="7">
        <v>0.41799999999999998</v>
      </c>
      <c r="E3" s="7">
        <v>1.075</v>
      </c>
      <c r="F3" s="7">
        <v>3.0270000000000001</v>
      </c>
      <c r="G3" s="12"/>
    </row>
    <row r="4" spans="1:13" x14ac:dyDescent="0.35">
      <c r="A4" s="13"/>
      <c r="B4" s="9" t="s">
        <v>10</v>
      </c>
      <c r="C4" s="9">
        <v>8.6999999999999994E-2</v>
      </c>
      <c r="D4" s="9">
        <v>0.38700000000000001</v>
      </c>
      <c r="E4" s="9">
        <v>0.84299999999999997</v>
      </c>
      <c r="F4" s="9">
        <v>2.3820000000000001</v>
      </c>
      <c r="G4" s="12"/>
    </row>
    <row r="5" spans="1:13" x14ac:dyDescent="0.35">
      <c r="A5" s="12" t="s">
        <v>4</v>
      </c>
      <c r="B5" s="8" t="s">
        <v>11</v>
      </c>
      <c r="C5" s="11">
        <f>C1^2</f>
        <v>100000000</v>
      </c>
      <c r="D5" s="11">
        <f>D1^2</f>
        <v>400000000</v>
      </c>
      <c r="E5" s="11">
        <f>E1^2</f>
        <v>900000000</v>
      </c>
      <c r="F5" s="11">
        <f>F1^2</f>
        <v>2500000000</v>
      </c>
      <c r="G5" s="12"/>
    </row>
    <row r="6" spans="1:13" x14ac:dyDescent="0.35">
      <c r="A6" s="12"/>
      <c r="B6" s="7" t="s">
        <v>9</v>
      </c>
      <c r="C6" s="7">
        <v>5.1999999999999998E-2</v>
      </c>
      <c r="D6" s="7">
        <v>0.224</v>
      </c>
      <c r="E6" s="7">
        <v>0.50800000000000001</v>
      </c>
      <c r="F6" s="7">
        <v>1.419</v>
      </c>
      <c r="G6" s="12"/>
    </row>
    <row r="7" spans="1:13" x14ac:dyDescent="0.35">
      <c r="A7" s="12"/>
      <c r="B7" s="9" t="s">
        <v>10</v>
      </c>
      <c r="C7" s="9">
        <v>5.2999999999999999E-2</v>
      </c>
      <c r="D7" s="9">
        <v>0.218</v>
      </c>
      <c r="E7" s="9">
        <v>0.5</v>
      </c>
      <c r="F7" s="9">
        <v>1.4379999999999999</v>
      </c>
      <c r="G7" s="12"/>
      <c r="M7" s="4"/>
    </row>
    <row r="8" spans="1:13" x14ac:dyDescent="0.35">
      <c r="A8" s="12" t="s">
        <v>5</v>
      </c>
      <c r="B8" s="8" t="s">
        <v>12</v>
      </c>
      <c r="C8" s="8">
        <f>C1*(LOG(C1,2))</f>
        <v>132877.1237954945</v>
      </c>
      <c r="D8" s="8">
        <f t="shared" ref="D8:F8" si="0">D1*(LOG(D1,2))</f>
        <v>285754.24759098899</v>
      </c>
      <c r="E8" s="8">
        <f t="shared" si="0"/>
        <v>446180.24640811823</v>
      </c>
      <c r="F8" s="8">
        <f t="shared" si="0"/>
        <v>780482.02372184058</v>
      </c>
      <c r="G8" s="12"/>
      <c r="M8" s="10"/>
    </row>
    <row r="9" spans="1:13" x14ac:dyDescent="0.35">
      <c r="A9" s="12"/>
      <c r="B9" s="7" t="s">
        <v>9</v>
      </c>
      <c r="C9" s="7">
        <v>0.01</v>
      </c>
      <c r="D9" s="7">
        <v>3.5000000000000003E-2</v>
      </c>
      <c r="E9" s="7">
        <v>7.5999999999999998E-2</v>
      </c>
      <c r="F9" s="7">
        <v>0.33900000000000002</v>
      </c>
      <c r="G9" s="12"/>
      <c r="M9" s="4"/>
    </row>
    <row r="10" spans="1:13" x14ac:dyDescent="0.35">
      <c r="A10" s="12"/>
      <c r="B10" s="9" t="s">
        <v>10</v>
      </c>
      <c r="C10" s="9">
        <v>0.01</v>
      </c>
      <c r="D10" s="9">
        <v>5.0999999999999997E-2</v>
      </c>
      <c r="E10" s="9">
        <v>7.4999999999999997E-2</v>
      </c>
      <c r="F10" s="9">
        <v>0.36</v>
      </c>
      <c r="G10" s="12"/>
    </row>
    <row r="11" spans="1:13" x14ac:dyDescent="0.35">
      <c r="A11" s="12" t="s">
        <v>6</v>
      </c>
      <c r="B11" s="8" t="s">
        <v>11</v>
      </c>
      <c r="C11" s="11">
        <f>C1^2</f>
        <v>100000000</v>
      </c>
      <c r="D11" s="11">
        <f>D1^2</f>
        <v>400000000</v>
      </c>
      <c r="E11" s="11">
        <f>E1^2</f>
        <v>900000000</v>
      </c>
      <c r="F11" s="11">
        <f>F1^2</f>
        <v>2500000000</v>
      </c>
      <c r="G11" s="12"/>
    </row>
    <row r="12" spans="1:13" x14ac:dyDescent="0.35">
      <c r="A12" s="12"/>
      <c r="B12" s="7" t="s">
        <v>9</v>
      </c>
      <c r="C12" s="7">
        <v>2E-3</v>
      </c>
      <c r="D12" s="7">
        <v>6.0000000000000001E-3</v>
      </c>
      <c r="E12" s="7">
        <v>0.01</v>
      </c>
      <c r="F12" s="7">
        <v>2.4E-2</v>
      </c>
      <c r="G12" s="12"/>
    </row>
    <row r="13" spans="1:13" x14ac:dyDescent="0.35">
      <c r="A13" s="12"/>
      <c r="B13" s="9" t="s">
        <v>10</v>
      </c>
      <c r="C13" s="9">
        <v>1E-3</v>
      </c>
      <c r="D13" s="9">
        <v>6.0000000000000001E-3</v>
      </c>
      <c r="E13" s="9">
        <v>0.01</v>
      </c>
      <c r="F13" s="9">
        <v>2.4E-2</v>
      </c>
      <c r="G13" s="12"/>
    </row>
    <row r="14" spans="1:13" x14ac:dyDescent="0.35">
      <c r="A14" s="12" t="s">
        <v>7</v>
      </c>
      <c r="B14" s="8" t="s">
        <v>12</v>
      </c>
      <c r="C14" s="8">
        <f>C1*(LOG(C1,2))</f>
        <v>132877.1237954945</v>
      </c>
      <c r="D14" s="8">
        <f t="shared" ref="D14:F14" si="1">D1*(LOG(D1,2))</f>
        <v>285754.24759098899</v>
      </c>
      <c r="E14" s="8">
        <f t="shared" si="1"/>
        <v>446180.24640811823</v>
      </c>
      <c r="F14" s="8">
        <f t="shared" si="1"/>
        <v>780482.02372184058</v>
      </c>
      <c r="G14" s="12"/>
    </row>
    <row r="15" spans="1:13" x14ac:dyDescent="0.35">
      <c r="A15" s="12"/>
      <c r="B15" s="7" t="s">
        <v>9</v>
      </c>
      <c r="C15" s="7">
        <v>2E-3</v>
      </c>
      <c r="D15" s="7">
        <v>3.0000000000000001E-3</v>
      </c>
      <c r="E15" s="7">
        <v>5.0000000000000001E-3</v>
      </c>
      <c r="F15" s="7">
        <v>8.9999999999999993E-3</v>
      </c>
      <c r="G15" s="12"/>
    </row>
    <row r="16" spans="1:13" x14ac:dyDescent="0.35">
      <c r="A16" s="12"/>
      <c r="B16" s="9" t="s">
        <v>10</v>
      </c>
      <c r="C16" s="9">
        <v>1E-3</v>
      </c>
      <c r="D16" s="9">
        <v>3.0000000000000001E-3</v>
      </c>
      <c r="E16" s="9">
        <v>4.0000000000000001E-3</v>
      </c>
      <c r="F16" s="9">
        <v>8.0000000000000002E-3</v>
      </c>
      <c r="G16" s="12"/>
    </row>
    <row r="17" spans="1:7" x14ac:dyDescent="0.35">
      <c r="A17" s="12" t="s">
        <v>8</v>
      </c>
      <c r="B17" s="8" t="s">
        <v>13</v>
      </c>
      <c r="C17" s="8">
        <v>10100</v>
      </c>
      <c r="D17" s="8">
        <v>20100</v>
      </c>
      <c r="E17" s="8">
        <v>30100</v>
      </c>
      <c r="F17" s="8">
        <v>50100</v>
      </c>
      <c r="G17" s="12"/>
    </row>
    <row r="18" spans="1:7" x14ac:dyDescent="0.35">
      <c r="A18" s="12"/>
      <c r="B18" s="7" t="s">
        <v>9</v>
      </c>
      <c r="C18" s="7">
        <v>0</v>
      </c>
      <c r="D18" s="7">
        <v>0</v>
      </c>
      <c r="E18" s="7">
        <v>0</v>
      </c>
      <c r="F18" s="7">
        <v>1E-3</v>
      </c>
      <c r="G18" s="12"/>
    </row>
    <row r="19" spans="1:7" x14ac:dyDescent="0.35">
      <c r="A19" s="12"/>
      <c r="B19" s="9" t="s">
        <v>10</v>
      </c>
      <c r="C19" s="9">
        <v>0</v>
      </c>
      <c r="D19" s="9">
        <v>0</v>
      </c>
      <c r="E19" s="9">
        <v>0</v>
      </c>
      <c r="F19" s="9">
        <v>1E-3</v>
      </c>
      <c r="G19" s="12"/>
    </row>
  </sheetData>
  <mergeCells count="12">
    <mergeCell ref="A14:A16"/>
    <mergeCell ref="G14:G16"/>
    <mergeCell ref="A17:A19"/>
    <mergeCell ref="G17:G19"/>
    <mergeCell ref="G2:G4"/>
    <mergeCell ref="A5:A7"/>
    <mergeCell ref="A8:A10"/>
    <mergeCell ref="G5:G7"/>
    <mergeCell ref="G8:G10"/>
    <mergeCell ref="A11:A13"/>
    <mergeCell ref="G11:G13"/>
    <mergeCell ref="A2:A4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B4903-0E17-40C6-8B77-E78D0640BC6B}">
  <dimension ref="A1:AH98"/>
  <sheetViews>
    <sheetView zoomScale="52" workbookViewId="0">
      <selection activeCell="AJ30" sqref="AJ30"/>
    </sheetView>
  </sheetViews>
  <sheetFormatPr defaultRowHeight="14.5" x14ac:dyDescent="0.35"/>
  <sheetData>
    <row r="1" spans="19:34" x14ac:dyDescent="0.35"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</row>
    <row r="2" spans="19:34" x14ac:dyDescent="0.35"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</row>
    <row r="3" spans="19:34" x14ac:dyDescent="0.35"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</row>
    <row r="4" spans="19:34" x14ac:dyDescent="0.35"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</row>
    <row r="5" spans="19:34" x14ac:dyDescent="0.35"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</row>
    <row r="6" spans="19:34" x14ac:dyDescent="0.35"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</row>
    <row r="7" spans="19:34" x14ac:dyDescent="0.35"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</row>
    <row r="8" spans="19:34" x14ac:dyDescent="0.35"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</row>
    <row r="9" spans="19:34" x14ac:dyDescent="0.35"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</row>
    <row r="10" spans="19:34" x14ac:dyDescent="0.35"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</row>
    <row r="11" spans="19:34" x14ac:dyDescent="0.35"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</row>
    <row r="12" spans="19:34" x14ac:dyDescent="0.35"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</row>
    <row r="13" spans="19:34" x14ac:dyDescent="0.35"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</row>
    <row r="14" spans="19:34" x14ac:dyDescent="0.35"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</row>
    <row r="15" spans="19:34" x14ac:dyDescent="0.35"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</row>
    <row r="16" spans="19:34" x14ac:dyDescent="0.35"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</row>
    <row r="17" spans="1:34" x14ac:dyDescent="0.35"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</row>
    <row r="18" spans="1:34" x14ac:dyDescent="0.35"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</row>
    <row r="19" spans="1:34" x14ac:dyDescent="0.35"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</row>
    <row r="20" spans="1:34" x14ac:dyDescent="0.35"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</row>
    <row r="21" spans="1:34" x14ac:dyDescent="0.35"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</row>
    <row r="22" spans="1:34" x14ac:dyDescent="0.35"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</row>
    <row r="23" spans="1:34" x14ac:dyDescent="0.35"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</row>
    <row r="24" spans="1:34" x14ac:dyDescent="0.35"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</row>
    <row r="25" spans="1:34" x14ac:dyDescent="0.35"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</row>
    <row r="26" spans="1:34" x14ac:dyDescent="0.35"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</row>
    <row r="27" spans="1:34" x14ac:dyDescent="0.35"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</row>
    <row r="28" spans="1:34" x14ac:dyDescent="0.3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</row>
    <row r="29" spans="1:34" x14ac:dyDescent="0.3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</row>
    <row r="30" spans="1:34" x14ac:dyDescent="0.3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</row>
    <row r="31" spans="1:34" x14ac:dyDescent="0.3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</row>
    <row r="32" spans="1:34" x14ac:dyDescent="0.3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</row>
    <row r="33" spans="1:34" x14ac:dyDescent="0.3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</row>
    <row r="34" spans="1:34" x14ac:dyDescent="0.3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</row>
    <row r="35" spans="1:34" x14ac:dyDescent="0.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</row>
    <row r="36" spans="1:34" x14ac:dyDescent="0.3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</row>
    <row r="37" spans="1:34" x14ac:dyDescent="0.3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</row>
    <row r="38" spans="1:34" x14ac:dyDescent="0.3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</row>
    <row r="39" spans="1:34" x14ac:dyDescent="0.3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</row>
    <row r="40" spans="1:34" x14ac:dyDescent="0.3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</row>
    <row r="41" spans="1:34" x14ac:dyDescent="0.3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</row>
    <row r="42" spans="1:34" x14ac:dyDescent="0.3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</row>
    <row r="43" spans="1:34" x14ac:dyDescent="0.3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</row>
    <row r="44" spans="1:34" x14ac:dyDescent="0.3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</row>
    <row r="45" spans="1:34" x14ac:dyDescent="0.3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</row>
    <row r="46" spans="1:34" x14ac:dyDescent="0.3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</row>
    <row r="47" spans="1:34" x14ac:dyDescent="0.3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</row>
    <row r="48" spans="1:34" x14ac:dyDescent="0.3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</row>
    <row r="49" spans="1:17" x14ac:dyDescent="0.3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</row>
    <row r="50" spans="1:17" x14ac:dyDescent="0.3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</row>
    <row r="51" spans="1:17" x14ac:dyDescent="0.3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</row>
    <row r="52" spans="1:17" x14ac:dyDescent="0.3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</row>
    <row r="53" spans="1:17" x14ac:dyDescent="0.3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</row>
    <row r="54" spans="1:17" x14ac:dyDescent="0.3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</row>
    <row r="55" spans="1:17" x14ac:dyDescent="0.3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</row>
    <row r="56" spans="1:17" x14ac:dyDescent="0.3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</row>
    <row r="57" spans="1:17" x14ac:dyDescent="0.3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</row>
    <row r="58" spans="1:17" x14ac:dyDescent="0.3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</row>
    <row r="59" spans="1:17" x14ac:dyDescent="0.3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</row>
    <row r="60" spans="1:17" x14ac:dyDescent="0.3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</row>
    <row r="61" spans="1:17" x14ac:dyDescent="0.3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</row>
    <row r="62" spans="1:17" x14ac:dyDescent="0.3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</row>
    <row r="63" spans="1:17" x14ac:dyDescent="0.35">
      <c r="A63" s="1"/>
    </row>
    <row r="64" spans="1:17" x14ac:dyDescent="0.35">
      <c r="A64" s="1"/>
    </row>
    <row r="65" spans="1:1" x14ac:dyDescent="0.35">
      <c r="A65" s="1"/>
    </row>
    <row r="66" spans="1:1" x14ac:dyDescent="0.35">
      <c r="A66" s="1"/>
    </row>
    <row r="67" spans="1:1" x14ac:dyDescent="0.35">
      <c r="A67" s="1"/>
    </row>
    <row r="68" spans="1:1" x14ac:dyDescent="0.35">
      <c r="A68" s="1"/>
    </row>
    <row r="69" spans="1:1" x14ac:dyDescent="0.35">
      <c r="A69" s="1"/>
    </row>
    <row r="70" spans="1:1" x14ac:dyDescent="0.35">
      <c r="A70" s="1"/>
    </row>
    <row r="71" spans="1:1" x14ac:dyDescent="0.35">
      <c r="A71" s="1"/>
    </row>
    <row r="72" spans="1:1" x14ac:dyDescent="0.35">
      <c r="A72" s="1"/>
    </row>
    <row r="73" spans="1:1" x14ac:dyDescent="0.35">
      <c r="A73" s="1"/>
    </row>
    <row r="74" spans="1:1" x14ac:dyDescent="0.35">
      <c r="A74" s="1"/>
    </row>
    <row r="75" spans="1:1" x14ac:dyDescent="0.35">
      <c r="A75" s="1"/>
    </row>
    <row r="76" spans="1:1" x14ac:dyDescent="0.35">
      <c r="A76" s="1"/>
    </row>
    <row r="77" spans="1:1" x14ac:dyDescent="0.35">
      <c r="A77" s="1"/>
    </row>
    <row r="78" spans="1:1" x14ac:dyDescent="0.35">
      <c r="A78" s="1"/>
    </row>
    <row r="79" spans="1:1" x14ac:dyDescent="0.35">
      <c r="A79" s="1"/>
    </row>
    <row r="80" spans="1:1" x14ac:dyDescent="0.35">
      <c r="A80" s="1"/>
    </row>
    <row r="81" spans="1:1" x14ac:dyDescent="0.35">
      <c r="A81" s="1"/>
    </row>
    <row r="82" spans="1:1" x14ac:dyDescent="0.35">
      <c r="A82" s="1"/>
    </row>
    <row r="83" spans="1:1" x14ac:dyDescent="0.35">
      <c r="A83" s="1"/>
    </row>
    <row r="84" spans="1:1" x14ac:dyDescent="0.35">
      <c r="A84" s="1"/>
    </row>
    <row r="85" spans="1:1" x14ac:dyDescent="0.35">
      <c r="A85" s="1"/>
    </row>
    <row r="86" spans="1:1" x14ac:dyDescent="0.35">
      <c r="A86" s="1"/>
    </row>
    <row r="87" spans="1:1" x14ac:dyDescent="0.35">
      <c r="A87" s="1"/>
    </row>
    <row r="88" spans="1:1" x14ac:dyDescent="0.35">
      <c r="A88" s="1"/>
    </row>
    <row r="89" spans="1:1" x14ac:dyDescent="0.35">
      <c r="A89" s="1"/>
    </row>
    <row r="90" spans="1:1" x14ac:dyDescent="0.35">
      <c r="A90" s="1"/>
    </row>
    <row r="91" spans="1:1" x14ac:dyDescent="0.35">
      <c r="A91" s="1"/>
    </row>
    <row r="92" spans="1:1" x14ac:dyDescent="0.35">
      <c r="A92" s="1"/>
    </row>
    <row r="93" spans="1:1" x14ac:dyDescent="0.35">
      <c r="A93" s="1"/>
    </row>
    <row r="94" spans="1:1" x14ac:dyDescent="0.35">
      <c r="A94" s="1"/>
    </row>
    <row r="95" spans="1:1" x14ac:dyDescent="0.35">
      <c r="A95" s="1"/>
    </row>
    <row r="96" spans="1:1" x14ac:dyDescent="0.35">
      <c r="A96" s="1"/>
    </row>
    <row r="97" spans="1:1" x14ac:dyDescent="0.35">
      <c r="A97" s="1"/>
    </row>
    <row r="98" spans="1:1" x14ac:dyDescent="0.35">
      <c r="A98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mira albuzz</dc:creator>
  <cp:lastModifiedBy>mira albuzz</cp:lastModifiedBy>
  <dcterms:created xsi:type="dcterms:W3CDTF">2026-04-09T23:28:03Z</dcterms:created>
  <dcterms:modified xsi:type="dcterms:W3CDTF">2026-04-10T17:19:29Z</dcterms:modified>
</cp:coreProperties>
</file>